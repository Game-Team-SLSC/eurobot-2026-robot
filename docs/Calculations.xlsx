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ell checker" sheetId="1" state="visible" r:id="rId1"/>
    <sheet name="BATT input" sheetId="2" state="visible" r:id="rId2"/>
    <sheet name="Main" sheetId="3" state="visible" r:id="rId3"/>
    <sheet name="BAU" sheetId="4" state="visible" r:id="rId4"/>
  </sheets>
  <definedNames>
    <definedName name="BattMaxVoltage" hidden="0">Main!$A$2</definedName>
    <definedName name="BattMinVoltage" hidden="0">Main!$B$2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<sst xmlns="http://schemas.openxmlformats.org/spreadsheetml/2006/main" count="19" uniqueCount="19">
  <si>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Cellule</t>
  </si>
  <si>
    <t xml:space="preserve">Vin​ Max (V)</t>
  </si>
  <si>
    <t xml:space="preserve">R1​ (Ω)</t>
  </si>
  <si>
    <t xml:space="preserve">R2​ (Ω)</t>
  </si>
  <si>
    <t xml:space="preserve">Tolerance (%)</t>
  </si>
  <si>
    <t xml:space="preserve">Typical Vout (V)</t>
  </si>
  <si>
    <t xml:space="preserve">Vout​ Worst Case (V)</t>
  </si>
  <si>
    <t xml:space="preserve">Cell 1</t>
  </si>
  <si>
    <t xml:space="preserve">Cell 2</t>
  </si>
  <si>
    <t xml:space="preserve">Cell 3</t>
  </si>
  <si>
    <t xml:space="preserve">Full batt</t>
  </si>
  <si>
    <t xml:space="preserve">Robot Max (V)</t>
  </si>
  <si>
    <t xml:space="preserve">Robot min (V)</t>
  </si>
  <si>
    <t xml:space="preserve">R (Ω)</t>
  </si>
  <si>
    <t xml:space="preserve">Vin max</t>
  </si>
  <si>
    <t xml:space="preserve">Vin min</t>
  </si>
  <si>
    <t xml:space="preserve">I (max)</t>
  </si>
  <si>
    <t xml:space="preserve">R relais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</si>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</sst>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  <font>
      <sz val="12.000000"/>
      <color rgb="FF444746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G$5">
  <autoFilter ref="$A$1:$G$5"/>
  <tableColumns count="7">
    <tableColumn id="1" name="Cellule"/>
    <tableColumn id="2" name="Vin​ Max (V)"/>
    <tableColumn id="3" name="R1​ (Ω)"/>
    <tableColumn id="4" name="R2​ (Ω)"/>
    <tableColumn id="5" name="Tolerance (%)"/>
    <tableColumn id="6" name="Typical Vout (V)"/>
    <tableColumn id="7" name="Vout​ Worst Case (V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$A$2:$F$3">
  <autoFilter ref="$A$2:$F$3"/>
  <tableColumns count="6">
    <tableColumn id="1" name="R (Ω)"/>
    <tableColumn id="2" name="Vin max"/>
    <tableColumn id="3" name="Vin min"/>
    <tableColumn id="4" name="I (max)"/>
    <tableColumn id="5" name="R relais"/>
    <tableColumn id="6" name="P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bestFit="1" min="1" max="1" width="9.36328125"/>
    <col bestFit="1" min="2" max="2" width="11.921875"/>
    <col bestFit="1" min="5" max="5" width="11.3828125"/>
    <col bestFit="1" min="6" max="6" width="12.08203125"/>
    <col bestFit="1" min="7" max="7" width="10.61328125"/>
  </cols>
  <sheetData>
    <row r="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>
      <c r="A2" s="2" t="s">
        <v>7</v>
      </c>
      <c r="B2" s="3">
        <v>4.2000000000000002</v>
      </c>
      <c r="C2" s="3">
        <v>16900</v>
      </c>
      <c r="D2" s="3">
        <v>24900</v>
      </c>
      <c r="E2" s="3">
        <v>1</v>
      </c>
      <c r="F2" s="4">
        <f>B2*(D2/(C2+D2))</f>
        <v>2.5019138755980865</v>
      </c>
      <c r="G2" s="4">
        <f>(B2*(D2*1.01))/((C2*0.99)+(D2*1.01))</f>
        <v>2.5221060171919771</v>
      </c>
    </row>
    <row r="3" ht="15">
      <c r="A3" s="2" t="s">
        <v>8</v>
      </c>
      <c r="B3" s="3">
        <v>8.4000000000000004</v>
      </c>
      <c r="C3" s="3">
        <v>59000</v>
      </c>
      <c r="D3" s="3">
        <v>24900</v>
      </c>
      <c r="E3" s="3">
        <v>1</v>
      </c>
      <c r="F3" s="4">
        <f>B3*(D3/(C3+D3))</f>
        <v>2.4929678188319429</v>
      </c>
      <c r="G3" s="4">
        <f>(B3*(D3*1.01))/((C3*0.99)+(D3*1.01))</f>
        <v>2.5281729077657702</v>
      </c>
    </row>
    <row r="4" ht="15">
      <c r="A4" s="2" t="s">
        <v>9</v>
      </c>
      <c r="B4" s="3">
        <v>12.6</v>
      </c>
      <c r="C4" s="3">
        <v>100000</v>
      </c>
      <c r="D4" s="3">
        <v>24900</v>
      </c>
      <c r="E4" s="3">
        <v>1</v>
      </c>
      <c r="F4" s="4">
        <f>B4*(D4/(C4+D4))</f>
        <v>2.5119295436349076</v>
      </c>
      <c r="G4" s="4">
        <f>(B4*(D4*1.01))/((C4*0.99)+(D4*1.01))</f>
        <v>2.5523959113645698</v>
      </c>
    </row>
    <row r="5" ht="15">
      <c r="A5" s="2" t="s">
        <v>10</v>
      </c>
      <c r="B5" s="3">
        <v>16.800000000000001</v>
      </c>
      <c r="C5" s="3">
        <v>143000</v>
      </c>
      <c r="D5" s="3">
        <v>24900</v>
      </c>
      <c r="E5" s="3">
        <v>1</v>
      </c>
      <c r="F5" s="4">
        <f>B5*(D5/(C5+D5))</f>
        <v>2.4914830256104823</v>
      </c>
      <c r="G5" s="4">
        <f>(B5*(D5*1.01))/((C5*0.99)+(D5*1.01))</f>
        <v>2.5342234538354957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70C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cols>
    <col customWidth="1" min="1" max="1" width="14.00390625"/>
  </cols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28125"/>
    <col customWidth="1" min="2" max="2" width="18.00390625"/>
  </cols>
  <sheetData>
    <row r="1">
      <c r="A1" t="s">
        <v>11</v>
      </c>
      <c r="B1" t="s">
        <v>12</v>
      </c>
    </row>
    <row r="2">
      <c r="A2">
        <v>16.800000000000001</v>
      </c>
      <c r="B2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0000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sheetData>
    <row r="2">
      <c r="A2" s="5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>
      <c r="A3">
        <v>39</v>
      </c>
      <c r="B3">
        <v>16.800000000000001</v>
      </c>
      <c r="C3">
        <v>14</v>
      </c>
      <c r="D3">
        <f>B3/(A3+E3)</f>
        <v>0.11830985915492959</v>
      </c>
      <c r="E3">
        <v>103</v>
      </c>
      <c r="F3">
        <f>A3*D3^2</f>
        <v>0.54589168815711175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2026-01-27T20:59:53Z</dcterms:modified>
</cp:coreProperties>
</file>